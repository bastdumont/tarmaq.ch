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ypothèses" sheetId="1" state="visible" r:id="rId3"/>
    <sheet name="ProForma Arcade" sheetId="2" state="visible" r:id="rId4"/>
    <sheet name="ProForma Atelier" sheetId="3" state="visible" r:id="rId5"/>
    <sheet name="Comparaison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<sst xmlns="http://schemas.openxmlformats.org/spreadsheetml/2006/main" count="148" uniqueCount="104">
  <si>
    <t xml:space="preserve">ÉVALUATION IMMOBILIÈRE — Rue du Philosophe 23, Genève</t>
  </si>
  <si>
    <t xml:space="preserve">Analyse pour Bastien Dumont — Tarmaq / Investissement</t>
  </si>
  <si>
    <t xml:space="preserve">PARAMÈTRE</t>
  </si>
  <si>
    <t xml:space="preserve">ARCADE (Lot 1)</t>
  </si>
  <si>
    <t xml:space="preserve">ATELIER (Lot 2)</t>
  </si>
  <si>
    <t xml:space="preserve">COMBINÉ</t>
  </si>
  <si>
    <t xml:space="preserve">DONNÉES DU BIEN</t>
  </si>
  <si>
    <t xml:space="preserve">Surface (m²)</t>
  </si>
  <si>
    <t xml:space="preserve">Prix d'achat (CHF)</t>
  </si>
  <si>
    <t xml:space="preserve">Prix au m² (CHF/m²)</t>
  </si>
  <si>
    <t xml:space="preserve">Rénovation (CHF)</t>
  </si>
  <si>
    <t xml:space="preserve">Frais de transaction (3.5%)</t>
  </si>
  <si>
    <t xml:space="preserve">Investissement total (CHF)</t>
  </si>
  <si>
    <t xml:space="preserve">Loyer mensuel cible (CHF)</t>
  </si>
  <si>
    <t xml:space="preserve">Charges copro mensuelles (CHF)</t>
  </si>
  <si>
    <t xml:space="preserve">Taux de frais de transaction</t>
  </si>
  <si>
    <t xml:space="preserve">Taux de vacance</t>
  </si>
  <si>
    <t xml:space="preserve">Provision entretien (% loyer)</t>
  </si>
  <si>
    <t xml:space="preserve">Assurance annuelle (CHF)</t>
  </si>
  <si>
    <t xml:space="preserve">Taux hypothécaire</t>
  </si>
  <si>
    <t xml:space="preserve">LTV (prêt/valeur)</t>
  </si>
  <si>
    <t xml:space="preserve">Durée amortissement (années)</t>
  </si>
  <si>
    <t xml:space="preserve">Indexation loyer annuelle</t>
  </si>
  <si>
    <t xml:space="preserve">Croissance charges annuelle</t>
  </si>
  <si>
    <t xml:space="preserve">Appréciation bien annuelle</t>
  </si>
  <si>
    <t xml:space="preserve">MÉTRIQUES CLÉS</t>
  </si>
  <si>
    <t xml:space="preserve">Loyer annuel brut (CHF)</t>
  </si>
  <si>
    <t xml:space="preserve">Provision vacance (CHF)</t>
  </si>
  <si>
    <t xml:space="preserve">Charges copro annuelles (CHF)</t>
  </si>
  <si>
    <t xml:space="preserve">Provision entretien (CHF)</t>
  </si>
  <si>
    <t xml:space="preserve">Assurance (CHF)</t>
  </si>
  <si>
    <t xml:space="preserve">Total charges exploitation (CHF)</t>
  </si>
  <si>
    <t xml:space="preserve">Revenu net (NOI) (CHF)</t>
  </si>
  <si>
    <t xml:space="preserve">Rendement brut</t>
  </si>
  <si>
    <t xml:space="preserve">Rendement net (sur prix)</t>
  </si>
  <si>
    <t xml:space="preserve">Cap rate (sur investissement total)</t>
  </si>
  <si>
    <t xml:space="preserve">Montant hypothèque (CHF)</t>
  </si>
  <si>
    <t xml:space="preserve">Fonds propres requis (CHF)</t>
  </si>
  <si>
    <t xml:space="preserve">Intérêts annuels (CHF)</t>
  </si>
  <si>
    <t xml:space="preserve">Amortissement annuel (CHF)</t>
  </si>
  <si>
    <t xml:space="preserve">Service dette annuel (CHF)</t>
  </si>
  <si>
    <t xml:space="preserve">Cash flow après dette (CHF)</t>
  </si>
  <si>
    <t xml:space="preserve">Cash-on-cash return</t>
  </si>
  <si>
    <t xml:space="preserve">Seuil de rentabilité occupancy</t>
  </si>
  <si>
    <t xml:space="preserve">PRO FORMA 5 ANS — ARCADE COMMERCIALE (33m²)</t>
  </si>
  <si>
    <t xml:space="preserve">Année 0</t>
  </si>
  <si>
    <t xml:space="preserve">Année 1</t>
  </si>
  <si>
    <t xml:space="preserve">Année 2</t>
  </si>
  <si>
    <t xml:space="preserve">Année 3</t>
  </si>
  <si>
    <t xml:space="preserve">Année 4</t>
  </si>
  <si>
    <t xml:space="preserve">Année 5</t>
  </si>
  <si>
    <t xml:space="preserve">INVESTISSEMENT</t>
  </si>
  <si>
    <t xml:space="preserve">Prix d'achat</t>
  </si>
  <si>
    <t xml:space="preserve">Rénovation</t>
  </si>
  <si>
    <t xml:space="preserve">Frais de transaction</t>
  </si>
  <si>
    <t xml:space="preserve">Total investissement</t>
  </si>
  <si>
    <t xml:space="preserve">REVENUS</t>
  </si>
  <si>
    <t xml:space="preserve">Loyer brut annuel</t>
  </si>
  <si>
    <t xml:space="preserve">Provision vacance (-5%)</t>
  </si>
  <si>
    <t xml:space="preserve">Revenus nets</t>
  </si>
  <si>
    <t xml:space="preserve">CHARGES D'EXPLOITATION</t>
  </si>
  <si>
    <t xml:space="preserve">Charges copropriété</t>
  </si>
  <si>
    <t xml:space="preserve">Provision entretien</t>
  </si>
  <si>
    <t xml:space="preserve">Assurance</t>
  </si>
  <si>
    <t xml:space="preserve">Total charges</t>
  </si>
  <si>
    <t xml:space="preserve">NOI (Revenu net d'exploitation)</t>
  </si>
  <si>
    <t xml:space="preserve">SERVICE DE LA DETTE</t>
  </si>
  <si>
    <t xml:space="preserve">Intérêts hypothécaires</t>
  </si>
  <si>
    <t xml:space="preserve">Amortissement</t>
  </si>
  <si>
    <t xml:space="preserve">Total service dette</t>
  </si>
  <si>
    <t xml:space="preserve">CASH FLOW NET</t>
  </si>
  <si>
    <t xml:space="preserve">Cash flow cumulé</t>
  </si>
  <si>
    <t xml:space="preserve">VALEUR DU BIEN</t>
  </si>
  <si>
    <t xml:space="preserve">Valeur estimée</t>
  </si>
  <si>
    <t xml:space="preserve">Plus-value latente</t>
  </si>
  <si>
    <t xml:space="preserve">Rendement total (cash + PV)</t>
  </si>
  <si>
    <t xml:space="preserve">PRO FORMA 5 ANS — ATELIER (69m²)</t>
  </si>
  <si>
    <t xml:space="preserve">MATRICE DE DÉCISION — COMPARAISON DES SCÉNARIOS</t>
  </si>
  <si>
    <t xml:space="preserve">Arcade seule</t>
  </si>
  <si>
    <t xml:space="preserve">Atelier seul</t>
  </si>
  <si>
    <t xml:space="preserve">Les 2 lots</t>
  </si>
  <si>
    <t xml:space="preserve">Location seule</t>
  </si>
  <si>
    <t xml:space="preserve">NOI annuel (CHF)</t>
  </si>
  <si>
    <t xml:space="preserve">Rendement net</t>
  </si>
  <si>
    <t xml:space="preserve">Cap rate</t>
  </si>
  <si>
    <t xml:space="preserve">Seuil rentabilité occupancy</t>
  </si>
  <si>
    <t xml:space="preserve">ANALYSE DES RISQUES</t>
  </si>
  <si>
    <t xml:space="preserve">Risque</t>
  </si>
  <si>
    <t xml:space="preserve">Impact</t>
  </si>
  <si>
    <t xml:space="preserve">Probabilité</t>
  </si>
  <si>
    <t xml:space="preserve">Mitigation</t>
  </si>
  <si>
    <t xml:space="preserve">Vacance prolongée (&gt;3 mois)</t>
  </si>
  <si>
    <t xml:space="preserve">Élevé</t>
  </si>
  <si>
    <t xml:space="preserve">Moyen</t>
  </si>
  <si>
    <t xml:space="preserve">Bail commercial longue durée, emplacement central</t>
  </si>
  <si>
    <t xml:space="preserve">Travaux copro imprévus</t>
  </si>
  <si>
    <t xml:space="preserve">Bâtiment pré-1919, vérifier fonds de rénovation</t>
  </si>
  <si>
    <t xml:space="preserve">Hausse taux hypothécaires</t>
  </si>
  <si>
    <t xml:space="preserve">Taux fixe 5-10 ans au closing</t>
  </si>
  <si>
    <t xml:space="preserve">Baisse marché immobilier</t>
  </si>
  <si>
    <t xml:space="preserve">Faible</t>
  </si>
  <si>
    <t xml:space="preserve">Genève = marché résilient, horizon long terme</t>
  </si>
  <si>
    <t xml:space="preserve">Réglementation locative</t>
  </si>
  <si>
    <t xml:space="preserve">Bail commercial moins régulé que résidentiel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</si>
</sst>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.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9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1F4E79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3"/>
      <color rgb="FF1F4E79"/>
      <name val="Arial"/>
      <family val="0"/>
      <charset val="1"/>
    </font>
    <font>
      <b val="true"/>
      <sz val="12"/>
      <color rgb="FF1F4E7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6E4F0"/>
        <bgColor rgb="FFCCFFFF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8"/>
    <col collapsed="false" customWidth="true" hidden="false" outlineLevel="0" max="4" min="2" style="0" width="22"/>
    <col collapsed="false" customWidth="true" hidden="false" outlineLevel="0" max="5" min="5" style="0" width="5"/>
    <col collapsed="false" customWidth="true" hidden="false" outlineLevel="0" max="6" min="6" style="0" width="22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</row>
    <row r="2" customFormat="false" ht="15" hidden="false" customHeight="false" outlineLevel="0" collapsed="false">
      <c r="A2" s="2" t="s">
        <v>1</v>
      </c>
      <c r="B2" s="2"/>
      <c r="C2" s="2"/>
      <c r="D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5" hidden="false" customHeight="false" outlineLevel="0" collapsed="false">
      <c r="A5" s="4" t="s">
        <v>6</v>
      </c>
      <c r="B5" s="5"/>
      <c r="C5" s="5"/>
      <c r="D5" s="5"/>
    </row>
    <row r="6" customFormat="false" ht="15" hidden="false" customHeight="false" outlineLevel="0" collapsed="false">
      <c r="A6" s="6" t="s">
        <v>7</v>
      </c>
      <c r="B6" s="7" t="n">
        <v>33</v>
      </c>
      <c r="C6" s="7" t="n">
        <v>69</v>
      </c>
      <c r="D6" s="8" t="n">
        <f aca="false">B6+C6</f>
        <v>102</v>
      </c>
    </row>
    <row r="7" customFormat="false" ht="15" hidden="false" customHeight="false" outlineLevel="0" collapsed="false">
      <c r="A7" s="6" t="s">
        <v>8</v>
      </c>
      <c r="B7" s="7" t="n">
        <v>375000</v>
      </c>
      <c r="C7" s="7" t="n">
        <v>700000</v>
      </c>
      <c r="D7" s="8" t="n">
        <f aca="false">B7+C7</f>
        <v>1075000</v>
      </c>
    </row>
    <row r="8" customFormat="false" ht="15" hidden="false" customHeight="false" outlineLevel="0" collapsed="false">
      <c r="A8" s="6" t="s">
        <v>9</v>
      </c>
      <c r="B8" s="8" t="n">
        <f aca="false">B7/B6</f>
        <v>11363.6363636364</v>
      </c>
      <c r="C8" s="8" t="n">
        <f aca="false">C7/C6</f>
        <v>10144.9275362319</v>
      </c>
      <c r="D8" s="8" t="n">
        <f aca="false">D7/D6</f>
        <v>10539.2156862745</v>
      </c>
    </row>
    <row r="9" customFormat="false" ht="15" hidden="false" customHeight="false" outlineLevel="0" collapsed="false">
      <c r="A9" s="6" t="s">
        <v>10</v>
      </c>
      <c r="B9" s="7" t="n">
        <v>37000</v>
      </c>
      <c r="C9" s="7" t="n">
        <v>0</v>
      </c>
      <c r="D9" s="8" t="n">
        <f aca="false">B9+C9</f>
        <v>37000</v>
      </c>
    </row>
    <row r="10" customFormat="false" ht="15" hidden="false" customHeight="false" outlineLevel="0" collapsed="false">
      <c r="A10" s="6" t="s">
        <v>11</v>
      </c>
      <c r="B10" s="8" t="n">
        <f aca="false">B7*B14</f>
        <v>13125</v>
      </c>
      <c r="C10" s="8" t="n">
        <f aca="false">C7*C14</f>
        <v>24500</v>
      </c>
      <c r="D10" s="8" t="n">
        <f aca="false">D7*B14</f>
        <v>37625</v>
      </c>
    </row>
    <row r="11" customFormat="false" ht="15" hidden="false" customHeight="false" outlineLevel="0" collapsed="false">
      <c r="A11" s="6" t="s">
        <v>12</v>
      </c>
      <c r="B11" s="8" t="n">
        <f aca="false">B7+B9+B10</f>
        <v>425125</v>
      </c>
      <c r="C11" s="8" t="n">
        <f aca="false">C7+C9+C10</f>
        <v>724500</v>
      </c>
      <c r="D11" s="8" t="n">
        <f aca="false">D7+D9+D10</f>
        <v>1149625</v>
      </c>
    </row>
    <row r="12" customFormat="false" ht="15" hidden="false" customHeight="false" outlineLevel="0" collapsed="false">
      <c r="A12" s="6" t="s">
        <v>13</v>
      </c>
      <c r="B12" s="7" t="n">
        <v>1500</v>
      </c>
      <c r="C12" s="7" t="n">
        <v>2500</v>
      </c>
      <c r="D12" s="8" t="n">
        <f aca="false">B12+C12</f>
        <v>4000</v>
      </c>
    </row>
    <row r="13" customFormat="false" ht="15" hidden="false" customHeight="false" outlineLevel="0" collapsed="false">
      <c r="A13" s="6" t="s">
        <v>14</v>
      </c>
      <c r="B13" s="7" t="n">
        <v>100</v>
      </c>
      <c r="C13" s="7" t="n">
        <v>210</v>
      </c>
      <c r="D13" s="8" t="n">
        <f aca="false">B13+C13</f>
        <v>310</v>
      </c>
    </row>
    <row r="14" customFormat="false" ht="15" hidden="false" customHeight="false" outlineLevel="0" collapsed="false">
      <c r="A14" s="9" t="s">
        <v>15</v>
      </c>
      <c r="B14" s="10" t="n">
        <v>0.035</v>
      </c>
      <c r="C14" s="10" t="n">
        <v>0.035</v>
      </c>
      <c r="D14" s="11"/>
    </row>
    <row r="15" customFormat="false" ht="15" hidden="false" customHeight="false" outlineLevel="0" collapsed="false">
      <c r="A15" s="6" t="s">
        <v>16</v>
      </c>
      <c r="B15" s="10" t="n">
        <v>0.05</v>
      </c>
      <c r="C15" s="10" t="n">
        <v>0.05</v>
      </c>
      <c r="D15" s="12"/>
    </row>
    <row r="16" customFormat="false" ht="15" hidden="false" customHeight="false" outlineLevel="0" collapsed="false">
      <c r="A16" s="6" t="s">
        <v>17</v>
      </c>
      <c r="B16" s="10" t="n">
        <v>0.05</v>
      </c>
      <c r="C16" s="10" t="n">
        <v>0.05</v>
      </c>
      <c r="D16" s="12"/>
    </row>
    <row r="17" customFormat="false" ht="15" hidden="false" customHeight="false" outlineLevel="0" collapsed="false">
      <c r="A17" s="6" t="s">
        <v>18</v>
      </c>
      <c r="B17" s="7" t="n">
        <v>300</v>
      </c>
      <c r="C17" s="7" t="n">
        <v>500</v>
      </c>
      <c r="D17" s="6" t="n">
        <f aca="false">B17+C17</f>
        <v>800</v>
      </c>
    </row>
    <row r="18" customFormat="false" ht="15" hidden="false" customHeight="false" outlineLevel="0" collapsed="false">
      <c r="A18" s="6" t="s">
        <v>19</v>
      </c>
      <c r="B18" s="10" t="n">
        <v>0.0175</v>
      </c>
      <c r="C18" s="10" t="n">
        <v>0.0175</v>
      </c>
      <c r="D18" s="12"/>
    </row>
    <row r="19" customFormat="false" ht="15" hidden="false" customHeight="false" outlineLevel="0" collapsed="false">
      <c r="A19" s="6" t="s">
        <v>20</v>
      </c>
      <c r="B19" s="10" t="n">
        <v>0.65</v>
      </c>
      <c r="C19" s="10" t="n">
        <v>0.65</v>
      </c>
      <c r="D19" s="12"/>
    </row>
    <row r="20" customFormat="false" ht="15" hidden="false" customHeight="false" outlineLevel="0" collapsed="false">
      <c r="A20" s="6" t="s">
        <v>21</v>
      </c>
      <c r="B20" s="7" t="n">
        <v>15</v>
      </c>
      <c r="C20" s="7" t="n">
        <v>15</v>
      </c>
      <c r="D20" s="12"/>
    </row>
    <row r="21" customFormat="false" ht="15" hidden="false" customHeight="false" outlineLevel="0" collapsed="false">
      <c r="A21" s="6" t="s">
        <v>22</v>
      </c>
      <c r="B21" s="10" t="n">
        <v>0.01</v>
      </c>
      <c r="C21" s="10" t="n">
        <v>0.01</v>
      </c>
      <c r="D21" s="12"/>
    </row>
    <row r="22" customFormat="false" ht="15" hidden="false" customHeight="false" outlineLevel="0" collapsed="false">
      <c r="A22" s="6" t="s">
        <v>23</v>
      </c>
      <c r="B22" s="10" t="n">
        <v>0.005</v>
      </c>
      <c r="C22" s="10" t="n">
        <v>0.005</v>
      </c>
      <c r="D22" s="12"/>
    </row>
    <row r="23" customFormat="false" ht="15" hidden="false" customHeight="false" outlineLevel="0" collapsed="false">
      <c r="A23" s="6" t="s">
        <v>24</v>
      </c>
      <c r="B23" s="10" t="n">
        <v>0.015</v>
      </c>
      <c r="C23" s="10" t="n">
        <v>0.015</v>
      </c>
      <c r="D23" s="12"/>
    </row>
    <row r="25" customFormat="false" ht="15" hidden="false" customHeight="false" outlineLevel="0" collapsed="false">
      <c r="A25" s="4" t="s">
        <v>25</v>
      </c>
      <c r="B25" s="5"/>
      <c r="C25" s="5"/>
      <c r="D25" s="5"/>
    </row>
    <row r="26" customFormat="false" ht="15" hidden="false" customHeight="false" outlineLevel="0" collapsed="false">
      <c r="A26" s="6" t="s">
        <v>26</v>
      </c>
      <c r="B26" s="8" t="n">
        <f aca="false">B12*12</f>
        <v>18000</v>
      </c>
      <c r="C26" s="8" t="n">
        <f aca="false">C12*12</f>
        <v>30000</v>
      </c>
      <c r="D26" s="8" t="n">
        <f aca="false">D12*12</f>
        <v>48000</v>
      </c>
    </row>
    <row r="27" customFormat="false" ht="15" hidden="false" customHeight="false" outlineLevel="0" collapsed="false">
      <c r="A27" s="6" t="s">
        <v>27</v>
      </c>
      <c r="B27" s="8" t="n">
        <f aca="false">B26*B15</f>
        <v>900</v>
      </c>
      <c r="C27" s="8" t="n">
        <f aca="false">C26*C15</f>
        <v>1500</v>
      </c>
      <c r="D27" s="8" t="n">
        <f aca="false">D26*0.05</f>
        <v>2400</v>
      </c>
    </row>
    <row r="28" customFormat="false" ht="15" hidden="false" customHeight="false" outlineLevel="0" collapsed="false">
      <c r="A28" s="6" t="s">
        <v>28</v>
      </c>
      <c r="B28" s="8" t="n">
        <f aca="false">B13*12</f>
        <v>1200</v>
      </c>
      <c r="C28" s="8" t="n">
        <f aca="false">C13*12</f>
        <v>2520</v>
      </c>
      <c r="D28" s="8" t="n">
        <f aca="false">D13*12</f>
        <v>3720</v>
      </c>
    </row>
    <row r="29" customFormat="false" ht="15" hidden="false" customHeight="false" outlineLevel="0" collapsed="false">
      <c r="A29" s="6" t="s">
        <v>29</v>
      </c>
      <c r="B29" s="8" t="n">
        <f aca="false">B26*B16</f>
        <v>900</v>
      </c>
      <c r="C29" s="8" t="n">
        <f aca="false">C26*C16</f>
        <v>1500</v>
      </c>
      <c r="D29" s="8" t="n">
        <f aca="false">D26*0.05</f>
        <v>2400</v>
      </c>
    </row>
    <row r="30" customFormat="false" ht="15" hidden="false" customHeight="false" outlineLevel="0" collapsed="false">
      <c r="A30" s="6" t="s">
        <v>30</v>
      </c>
      <c r="B30" s="8" t="n">
        <f aca="false">B17</f>
        <v>300</v>
      </c>
      <c r="C30" s="8" t="n">
        <f aca="false">C17</f>
        <v>500</v>
      </c>
      <c r="D30" s="8" t="n">
        <f aca="false">D17</f>
        <v>800</v>
      </c>
    </row>
    <row r="31" customFormat="false" ht="15" hidden="false" customHeight="false" outlineLevel="0" collapsed="false">
      <c r="A31" s="6" t="s">
        <v>31</v>
      </c>
      <c r="B31" s="8" t="n">
        <f aca="false">B27+B28+B29+B30</f>
        <v>3300</v>
      </c>
      <c r="C31" s="8" t="n">
        <f aca="false">C27+C28+C29+C30</f>
        <v>6020</v>
      </c>
      <c r="D31" s="8" t="n">
        <f aca="false">D27+D28+D29+D30</f>
        <v>9320</v>
      </c>
    </row>
    <row r="32" customFormat="false" ht="15" hidden="false" customHeight="false" outlineLevel="0" collapsed="false">
      <c r="A32" s="13" t="s">
        <v>32</v>
      </c>
      <c r="B32" s="14" t="n">
        <f aca="false">B26-B31</f>
        <v>14700</v>
      </c>
      <c r="C32" s="14" t="n">
        <f aca="false">C26-C31</f>
        <v>23980</v>
      </c>
      <c r="D32" s="14" t="n">
        <f aca="false">D26-D31</f>
        <v>38680</v>
      </c>
    </row>
    <row r="34" customFormat="false" ht="15" hidden="false" customHeight="false" outlineLevel="0" collapsed="false">
      <c r="A34" s="6" t="s">
        <v>33</v>
      </c>
      <c r="B34" s="15" t="n">
        <f aca="false">B26/B7</f>
        <v>0.048</v>
      </c>
      <c r="C34" s="15" t="n">
        <f aca="false">C26/C7</f>
        <v>0.0428571428571429</v>
      </c>
      <c r="D34" s="15" t="n">
        <f aca="false">D26/D7</f>
        <v>0.0446511627906977</v>
      </c>
    </row>
    <row r="35" customFormat="false" ht="15" hidden="false" customHeight="false" outlineLevel="0" collapsed="false">
      <c r="A35" s="6" t="s">
        <v>34</v>
      </c>
      <c r="B35" s="15" t="n">
        <f aca="false">B32/B7</f>
        <v>0.0392</v>
      </c>
      <c r="C35" s="15" t="n">
        <f aca="false">C32/C7</f>
        <v>0.0342571428571429</v>
      </c>
      <c r="D35" s="15" t="n">
        <f aca="false">D32/D7</f>
        <v>0.0359813953488372</v>
      </c>
    </row>
    <row r="36" customFormat="false" ht="15" hidden="false" customHeight="false" outlineLevel="0" collapsed="false">
      <c r="A36" s="13" t="s">
        <v>35</v>
      </c>
      <c r="B36" s="16" t="n">
        <f aca="false">B32/B11</f>
        <v>0.0345780652749191</v>
      </c>
      <c r="C36" s="16" t="n">
        <f aca="false">C32/C11</f>
        <v>0.0330986887508627</v>
      </c>
      <c r="D36" s="16" t="n">
        <f aca="false">D32/D11</f>
        <v>0.0336457540502338</v>
      </c>
    </row>
    <row r="38" customFormat="false" ht="15" hidden="false" customHeight="false" outlineLevel="0" collapsed="false">
      <c r="A38" s="6" t="s">
        <v>36</v>
      </c>
      <c r="B38" s="8" t="n">
        <f aca="false">B7*B19</f>
        <v>243750</v>
      </c>
      <c r="C38" s="8" t="n">
        <f aca="false">C7*C19</f>
        <v>455000</v>
      </c>
      <c r="D38" s="8" t="n">
        <f aca="false">D7*0.65</f>
        <v>698750</v>
      </c>
    </row>
    <row r="39" customFormat="false" ht="15" hidden="false" customHeight="false" outlineLevel="0" collapsed="false">
      <c r="A39" s="6" t="s">
        <v>37</v>
      </c>
      <c r="B39" s="8" t="n">
        <f aca="false">B11-B38</f>
        <v>181375</v>
      </c>
      <c r="C39" s="8" t="n">
        <f aca="false">C11-C38</f>
        <v>269500</v>
      </c>
      <c r="D39" s="8" t="n">
        <f aca="false">D11-D38</f>
        <v>450875</v>
      </c>
    </row>
    <row r="40" customFormat="false" ht="15" hidden="false" customHeight="false" outlineLevel="0" collapsed="false">
      <c r="A40" s="6" t="s">
        <v>38</v>
      </c>
      <c r="B40" s="8" t="n">
        <f aca="false">B38*B18</f>
        <v>4265.625</v>
      </c>
      <c r="C40" s="8" t="n">
        <f aca="false">C38*C18</f>
        <v>7962.5</v>
      </c>
      <c r="D40" s="8" t="n">
        <f aca="false">D38*0.0175</f>
        <v>12228.125</v>
      </c>
    </row>
    <row r="41" customFormat="false" ht="15" hidden="false" customHeight="false" outlineLevel="0" collapsed="false">
      <c r="A41" s="6" t="s">
        <v>39</v>
      </c>
      <c r="B41" s="8" t="n">
        <f aca="false">(B7*0.15)/B20</f>
        <v>3750</v>
      </c>
      <c r="C41" s="8" t="n">
        <f aca="false">(C7*0.15)/C20</f>
        <v>7000</v>
      </c>
      <c r="D41" s="8" t="n">
        <f aca="false">(D7*0.15)/15</f>
        <v>10750</v>
      </c>
    </row>
    <row r="42" customFormat="false" ht="15" hidden="false" customHeight="false" outlineLevel="0" collapsed="false">
      <c r="A42" s="6" t="s">
        <v>40</v>
      </c>
      <c r="B42" s="8" t="n">
        <f aca="false">B40+B41</f>
        <v>8015.625</v>
      </c>
      <c r="C42" s="8" t="n">
        <f aca="false">C40+C41</f>
        <v>14962.5</v>
      </c>
      <c r="D42" s="8" t="n">
        <f aca="false">D40+D41</f>
        <v>22978.125</v>
      </c>
    </row>
    <row r="43" customFormat="false" ht="15" hidden="false" customHeight="false" outlineLevel="0" collapsed="false">
      <c r="A43" s="13" t="s">
        <v>41</v>
      </c>
      <c r="B43" s="14" t="n">
        <f aca="false">B32-B42</f>
        <v>6684.375</v>
      </c>
      <c r="C43" s="14" t="n">
        <f aca="false">C32-C42</f>
        <v>9017.5</v>
      </c>
      <c r="D43" s="14" t="n">
        <f aca="false">D32-D42</f>
        <v>15701.875</v>
      </c>
    </row>
    <row r="44" customFormat="false" ht="15" hidden="false" customHeight="false" outlineLevel="0" collapsed="false">
      <c r="A44" s="13" t="s">
        <v>42</v>
      </c>
      <c r="B44" s="16" t="n">
        <f aca="false">B43/B39</f>
        <v>0.0368538938662991</v>
      </c>
      <c r="C44" s="16" t="n">
        <f aca="false">C43/C39</f>
        <v>0.0334601113172542</v>
      </c>
      <c r="D44" s="16" t="n">
        <f aca="false">D43/D39</f>
        <v>0.0348253396174106</v>
      </c>
    </row>
    <row r="45" customFormat="false" ht="15" hidden="false" customHeight="false" outlineLevel="0" collapsed="false">
      <c r="A45" s="6" t="s">
        <v>43</v>
      </c>
      <c r="B45" s="15" t="n">
        <f aca="false">B31/(B12*12)</f>
        <v>0.183333333333333</v>
      </c>
      <c r="C45" s="15" t="n">
        <f aca="false">C31/(C12*12)</f>
        <v>0.200666666666667</v>
      </c>
      <c r="D45" s="15" t="n">
        <f aca="false">D31/(D12*12)</f>
        <v>0.194166666666667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5"/>
    <col collapsed="false" customWidth="true" hidden="false" outlineLevel="0" max="7" min="2" style="0" width="16"/>
  </cols>
  <sheetData>
    <row r="1" customFormat="false" ht="16.15" hidden="false" customHeight="false" outlineLevel="0" collapsed="false">
      <c r="A1" s="17" t="s">
        <v>44</v>
      </c>
      <c r="B1" s="17"/>
      <c r="C1" s="17"/>
      <c r="D1" s="17"/>
      <c r="E1" s="17"/>
      <c r="F1" s="17"/>
      <c r="G1" s="17"/>
    </row>
    <row r="3" customFormat="false" ht="15" hidden="false" customHeight="false" outlineLevel="0" collapsed="false">
      <c r="A3" s="3"/>
      <c r="B3" s="3" t="s">
        <v>45</v>
      </c>
      <c r="C3" s="3" t="s">
        <v>46</v>
      </c>
      <c r="D3" s="3" t="s">
        <v>47</v>
      </c>
      <c r="E3" s="3" t="s">
        <v>48</v>
      </c>
      <c r="F3" s="3" t="s">
        <v>49</v>
      </c>
      <c r="G3" s="3" t="s">
        <v>50</v>
      </c>
    </row>
    <row r="4" customFormat="false" ht="15" hidden="false" customHeight="false" outlineLevel="0" collapsed="false">
      <c r="A4" s="18" t="s">
        <v>51</v>
      </c>
      <c r="B4" s="5"/>
      <c r="C4" s="5"/>
      <c r="D4" s="5"/>
      <c r="E4" s="5"/>
      <c r="F4" s="5"/>
      <c r="G4" s="5"/>
    </row>
    <row r="5" customFormat="false" ht="15" hidden="false" customHeight="false" outlineLevel="0" collapsed="false">
      <c r="A5" s="6" t="s">
        <v>52</v>
      </c>
      <c r="B5" s="8" t="n">
        <v>-375000</v>
      </c>
      <c r="C5" s="19"/>
      <c r="D5" s="19"/>
      <c r="E5" s="19"/>
      <c r="F5" s="19"/>
      <c r="G5" s="19"/>
    </row>
    <row r="6" customFormat="false" ht="15" hidden="false" customHeight="false" outlineLevel="0" collapsed="false">
      <c r="A6" s="6" t="s">
        <v>53</v>
      </c>
      <c r="B6" s="8" t="n">
        <v>-37000</v>
      </c>
      <c r="C6" s="19"/>
      <c r="D6" s="19"/>
      <c r="E6" s="19"/>
      <c r="F6" s="19"/>
      <c r="G6" s="19"/>
    </row>
    <row r="7" customFormat="false" ht="15" hidden="false" customHeight="false" outlineLevel="0" collapsed="false">
      <c r="A7" s="6" t="s">
        <v>54</v>
      </c>
      <c r="B7" s="8" t="n">
        <f aca="false">-Hypothèses!B10</f>
        <v>-13125</v>
      </c>
      <c r="C7" s="19"/>
      <c r="D7" s="19"/>
      <c r="E7" s="19"/>
      <c r="F7" s="19"/>
      <c r="G7" s="19"/>
    </row>
    <row r="8" customFormat="false" ht="15" hidden="false" customHeight="false" outlineLevel="0" collapsed="false">
      <c r="A8" s="6" t="s">
        <v>55</v>
      </c>
      <c r="B8" s="8" t="n">
        <f aca="false">SUM(B5:B7)</f>
        <v>-425125</v>
      </c>
      <c r="C8" s="19"/>
      <c r="D8" s="19"/>
      <c r="E8" s="19"/>
      <c r="F8" s="19"/>
      <c r="G8" s="19"/>
    </row>
    <row r="10" customFormat="false" ht="15" hidden="false" customHeight="false" outlineLevel="0" collapsed="false">
      <c r="A10" s="18" t="s">
        <v>56</v>
      </c>
      <c r="B10" s="5"/>
      <c r="C10" s="5"/>
      <c r="D10" s="5"/>
      <c r="E10" s="5"/>
      <c r="F10" s="5"/>
      <c r="G10" s="5"/>
    </row>
    <row r="11" customFormat="false" ht="15" hidden="false" customHeight="false" outlineLevel="0" collapsed="false">
      <c r="A11" s="6" t="s">
        <v>57</v>
      </c>
      <c r="B11" s="19"/>
      <c r="C11" s="8" t="n">
        <f aca="false">Hypothèses!B26</f>
        <v>18000</v>
      </c>
      <c r="D11" s="8" t="n">
        <f aca="false">C11*(1+Hypothèses!B21)</f>
        <v>18180</v>
      </c>
      <c r="E11" s="8" t="n">
        <f aca="false">D11*(1+Hypothèses!B21)</f>
        <v>18361.8</v>
      </c>
      <c r="F11" s="8" t="n">
        <f aca="false">E11*(1+Hypothèses!B21)</f>
        <v>18545.418</v>
      </c>
      <c r="G11" s="8" t="n">
        <f aca="false">F11*(1+Hypothèses!B21)</f>
        <v>18730.87218</v>
      </c>
    </row>
    <row r="12" customFormat="false" ht="15" hidden="false" customHeight="false" outlineLevel="0" collapsed="false">
      <c r="A12" s="6" t="s">
        <v>58</v>
      </c>
      <c r="B12" s="19"/>
      <c r="C12" s="8" t="n">
        <f aca="false">-C11*Hypothèses!B15</f>
        <v>-900</v>
      </c>
      <c r="D12" s="8" t="n">
        <f aca="false">-D11*Hypothèses!B15</f>
        <v>-909</v>
      </c>
      <c r="E12" s="8" t="n">
        <f aca="false">-E11*Hypothèses!B15</f>
        <v>-918.09</v>
      </c>
      <c r="F12" s="8" t="n">
        <f aca="false">-F11*Hypothèses!B15</f>
        <v>-927.2709</v>
      </c>
      <c r="G12" s="8" t="n">
        <f aca="false">-G11*Hypothèses!B15</f>
        <v>-936.543609</v>
      </c>
    </row>
    <row r="13" customFormat="false" ht="15" hidden="false" customHeight="false" outlineLevel="0" collapsed="false">
      <c r="A13" s="6" t="s">
        <v>59</v>
      </c>
      <c r="B13" s="19"/>
      <c r="C13" s="8" t="n">
        <f aca="false">C11+C12</f>
        <v>17100</v>
      </c>
      <c r="D13" s="8" t="n">
        <f aca="false">D11+D12</f>
        <v>17271</v>
      </c>
      <c r="E13" s="8" t="n">
        <f aca="false">E11+E12</f>
        <v>17443.71</v>
      </c>
      <c r="F13" s="8" t="n">
        <f aca="false">F11+F12</f>
        <v>17618.1471</v>
      </c>
      <c r="G13" s="8" t="n">
        <f aca="false">G11+G12</f>
        <v>17794.328571</v>
      </c>
    </row>
    <row r="15" customFormat="false" ht="15" hidden="false" customHeight="false" outlineLevel="0" collapsed="false">
      <c r="A15" s="18" t="s">
        <v>60</v>
      </c>
      <c r="B15" s="5"/>
      <c r="C15" s="5"/>
      <c r="D15" s="5"/>
      <c r="E15" s="5"/>
      <c r="F15" s="5"/>
      <c r="G15" s="5"/>
    </row>
    <row r="16" customFormat="false" ht="15" hidden="false" customHeight="false" outlineLevel="0" collapsed="false">
      <c r="A16" s="6" t="s">
        <v>61</v>
      </c>
      <c r="B16" s="19"/>
      <c r="C16" s="8" t="n">
        <f aca="false">Hypothèses!B28</f>
        <v>1200</v>
      </c>
      <c r="D16" s="8" t="n">
        <f aca="false">C16*(1+Hypothèses!B22)</f>
        <v>1206</v>
      </c>
      <c r="E16" s="8" t="n">
        <f aca="false">D16*(1+Hypothèses!B22)</f>
        <v>1212.03</v>
      </c>
      <c r="F16" s="8" t="n">
        <f aca="false">E16*(1+Hypothèses!B22)</f>
        <v>1218.09015</v>
      </c>
      <c r="G16" s="8" t="n">
        <f aca="false">F16*(1+Hypothèses!B22)</f>
        <v>1224.18060075</v>
      </c>
    </row>
    <row r="17" customFormat="false" ht="15" hidden="false" customHeight="false" outlineLevel="0" collapsed="false">
      <c r="A17" s="6" t="s">
        <v>62</v>
      </c>
      <c r="B17" s="19"/>
      <c r="C17" s="8" t="n">
        <f aca="false">C11*Hypothèses!B16</f>
        <v>900</v>
      </c>
      <c r="D17" s="8" t="n">
        <f aca="false">D11*Hypothèses!B16</f>
        <v>909</v>
      </c>
      <c r="E17" s="8" t="n">
        <f aca="false">E11*Hypothèses!B16</f>
        <v>918.09</v>
      </c>
      <c r="F17" s="8" t="n">
        <f aca="false">F11*Hypothèses!B16</f>
        <v>927.2709</v>
      </c>
      <c r="G17" s="8" t="n">
        <f aca="false">G11*Hypothèses!B16</f>
        <v>936.543609</v>
      </c>
    </row>
    <row r="18" customFormat="false" ht="15" hidden="false" customHeight="false" outlineLevel="0" collapsed="false">
      <c r="A18" s="6" t="s">
        <v>63</v>
      </c>
      <c r="B18" s="19"/>
      <c r="C18" s="8" t="n">
        <f aca="false">Hypothèses!B17</f>
        <v>300</v>
      </c>
      <c r="D18" s="8" t="n">
        <f aca="false">C18*(1+Hypothèses!B22)</f>
        <v>301.5</v>
      </c>
      <c r="E18" s="8" t="n">
        <f aca="false">D18*(1+Hypothèses!B22)</f>
        <v>303.0075</v>
      </c>
      <c r="F18" s="8" t="n">
        <f aca="false">E18*(1+Hypothèses!B22)</f>
        <v>304.5225375</v>
      </c>
      <c r="G18" s="8" t="n">
        <f aca="false">F18*(1+Hypothèses!B22)</f>
        <v>306.0451501875</v>
      </c>
    </row>
    <row r="19" customFormat="false" ht="15" hidden="false" customHeight="false" outlineLevel="0" collapsed="false">
      <c r="A19" s="6" t="s">
        <v>64</v>
      </c>
      <c r="B19" s="19"/>
      <c r="C19" s="8" t="n">
        <f aca="false">C16+C17+C18</f>
        <v>2400</v>
      </c>
      <c r="D19" s="8" t="n">
        <f aca="false">D16+D17+D18</f>
        <v>2416.5</v>
      </c>
      <c r="E19" s="8" t="n">
        <f aca="false">E16+E17+E18</f>
        <v>2433.1275</v>
      </c>
      <c r="F19" s="8" t="n">
        <f aca="false">F16+F17+F18</f>
        <v>2449.8835875</v>
      </c>
      <c r="G19" s="8" t="n">
        <f aca="false">G16+G17+G18</f>
        <v>2466.7693599375</v>
      </c>
    </row>
    <row r="21" customFormat="false" ht="15" hidden="false" customHeight="false" outlineLevel="0" collapsed="false">
      <c r="A21" s="13" t="s">
        <v>65</v>
      </c>
      <c r="B21" s="19"/>
      <c r="C21" s="8" t="n">
        <f aca="false">C13-C19</f>
        <v>14700</v>
      </c>
      <c r="D21" s="8" t="n">
        <f aca="false">D13-D19</f>
        <v>14854.5</v>
      </c>
      <c r="E21" s="8" t="n">
        <f aca="false">E13-E19</f>
        <v>15010.5825</v>
      </c>
      <c r="F21" s="8" t="n">
        <f aca="false">F13-F19</f>
        <v>15168.2635125</v>
      </c>
      <c r="G21" s="8" t="n">
        <f aca="false">G13-G19</f>
        <v>15327.5592110625</v>
      </c>
    </row>
    <row r="23" customFormat="false" ht="15" hidden="false" customHeight="false" outlineLevel="0" collapsed="false">
      <c r="A23" s="18" t="s">
        <v>66</v>
      </c>
      <c r="B23" s="5"/>
      <c r="C23" s="5"/>
      <c r="D23" s="5"/>
      <c r="E23" s="5"/>
      <c r="F23" s="5"/>
      <c r="G23" s="5"/>
    </row>
    <row r="24" customFormat="false" ht="15" hidden="false" customHeight="false" outlineLevel="0" collapsed="false">
      <c r="A24" s="6" t="s">
        <v>67</v>
      </c>
      <c r="B24" s="19"/>
      <c r="C24" s="8" t="n">
        <f aca="false">Hypothèses!B40</f>
        <v>4265.625</v>
      </c>
      <c r="D24" s="8" t="n">
        <f aca="false">C24</f>
        <v>4265.625</v>
      </c>
      <c r="E24" s="8" t="n">
        <f aca="false">D24</f>
        <v>4265.625</v>
      </c>
      <c r="F24" s="8" t="n">
        <f aca="false">E24</f>
        <v>4265.625</v>
      </c>
      <c r="G24" s="8" t="n">
        <f aca="false">F24</f>
        <v>4265.625</v>
      </c>
    </row>
    <row r="25" customFormat="false" ht="15" hidden="false" customHeight="false" outlineLevel="0" collapsed="false">
      <c r="A25" s="6" t="s">
        <v>68</v>
      </c>
      <c r="B25" s="19"/>
      <c r="C25" s="8" t="n">
        <f aca="false">Hypothèses!B41</f>
        <v>3750</v>
      </c>
      <c r="D25" s="8" t="n">
        <f aca="false">C25</f>
        <v>3750</v>
      </c>
      <c r="E25" s="8" t="n">
        <f aca="false">D25</f>
        <v>3750</v>
      </c>
      <c r="F25" s="8" t="n">
        <f aca="false">E25</f>
        <v>3750</v>
      </c>
      <c r="G25" s="8" t="n">
        <f aca="false">F25</f>
        <v>3750</v>
      </c>
    </row>
    <row r="26" customFormat="false" ht="15" hidden="false" customHeight="false" outlineLevel="0" collapsed="false">
      <c r="A26" s="6" t="s">
        <v>69</v>
      </c>
      <c r="B26" s="19"/>
      <c r="C26" s="8" t="n">
        <f aca="false">C24+C25</f>
        <v>8015.625</v>
      </c>
      <c r="D26" s="8" t="n">
        <f aca="false">D24+D25</f>
        <v>8015.625</v>
      </c>
      <c r="E26" s="8" t="n">
        <f aca="false">E24+E25</f>
        <v>8015.625</v>
      </c>
      <c r="F26" s="8" t="n">
        <f aca="false">F24+F25</f>
        <v>8015.625</v>
      </c>
      <c r="G26" s="8" t="n">
        <f aca="false">G24+G25</f>
        <v>8015.625</v>
      </c>
    </row>
    <row r="28" customFormat="false" ht="15" hidden="false" customHeight="false" outlineLevel="0" collapsed="false">
      <c r="A28" s="13" t="s">
        <v>70</v>
      </c>
      <c r="B28" s="8" t="n">
        <f aca="false">B8</f>
        <v>-425125</v>
      </c>
      <c r="C28" s="8" t="n">
        <f aca="false">C21-C26</f>
        <v>6684.375</v>
      </c>
      <c r="D28" s="8" t="n">
        <f aca="false">D21-D26</f>
        <v>6838.875</v>
      </c>
      <c r="E28" s="8" t="n">
        <f aca="false">E21-E26</f>
        <v>6994.9575</v>
      </c>
      <c r="F28" s="8" t="n">
        <f aca="false">F21-F26</f>
        <v>7152.6385125</v>
      </c>
      <c r="G28" s="8" t="n">
        <f aca="false">G21-G26</f>
        <v>7311.9342110625</v>
      </c>
    </row>
    <row r="29" customFormat="false" ht="15" hidden="false" customHeight="false" outlineLevel="0" collapsed="false">
      <c r="A29" s="6" t="s">
        <v>71</v>
      </c>
      <c r="B29" s="8" t="n">
        <f aca="false">B28</f>
        <v>-425125</v>
      </c>
      <c r="C29" s="8" t="n">
        <f aca="false">B29+C28</f>
        <v>-418440.625</v>
      </c>
      <c r="D29" s="8" t="n">
        <f aca="false">C29+D28</f>
        <v>-411601.75</v>
      </c>
      <c r="E29" s="8" t="n">
        <f aca="false">D29+E28</f>
        <v>-404606.7925</v>
      </c>
      <c r="F29" s="8" t="n">
        <f aca="false">E29+F28</f>
        <v>-397454.1539875</v>
      </c>
      <c r="G29" s="8" t="n">
        <f aca="false">F29+G28</f>
        <v>-390142.219776438</v>
      </c>
    </row>
    <row r="31" customFormat="false" ht="15" hidden="false" customHeight="false" outlineLevel="0" collapsed="false">
      <c r="A31" s="18" t="s">
        <v>72</v>
      </c>
      <c r="B31" s="5"/>
      <c r="C31" s="5"/>
      <c r="D31" s="5"/>
      <c r="E31" s="5"/>
      <c r="F31" s="5"/>
      <c r="G31" s="5"/>
    </row>
    <row r="32" customFormat="false" ht="15" hidden="false" customHeight="false" outlineLevel="0" collapsed="false">
      <c r="A32" s="6" t="s">
        <v>73</v>
      </c>
      <c r="B32" s="8" t="n">
        <f aca="false">Hypothèses!B7</f>
        <v>375000</v>
      </c>
      <c r="C32" s="8" t="n">
        <f aca="false">B32*(1+Hypothèses!B23)</f>
        <v>380625</v>
      </c>
      <c r="D32" s="8" t="n">
        <f aca="false">C32*(1+Hypothèses!B23)</f>
        <v>386334.375</v>
      </c>
      <c r="E32" s="8" t="n">
        <f aca="false">D32*(1+Hypothèses!B23)</f>
        <v>392129.390625</v>
      </c>
      <c r="F32" s="8" t="n">
        <f aca="false">E32*(1+Hypothèses!B23)</f>
        <v>398011.331484375</v>
      </c>
      <c r="G32" s="8" t="n">
        <f aca="false">F32*(1+Hypothèses!B23)</f>
        <v>403981.50145664</v>
      </c>
    </row>
    <row r="33" customFormat="false" ht="15" hidden="false" customHeight="false" outlineLevel="0" collapsed="false">
      <c r="A33" s="6" t="s">
        <v>74</v>
      </c>
      <c r="B33" s="19"/>
      <c r="C33" s="8" t="n">
        <f aca="false">C32-B32</f>
        <v>5624.99999999994</v>
      </c>
      <c r="D33" s="8" t="n">
        <f aca="false">D32-B32</f>
        <v>11334.3749999999</v>
      </c>
      <c r="E33" s="8" t="n">
        <f aca="false">E32-B32</f>
        <v>17129.3906249998</v>
      </c>
      <c r="F33" s="8" t="n">
        <f aca="false">F32-B32</f>
        <v>23011.3314843748</v>
      </c>
      <c r="G33" s="8" t="n">
        <f aca="false">G32-B32</f>
        <v>28981.5014566404</v>
      </c>
    </row>
    <row r="34" customFormat="false" ht="15" hidden="false" customHeight="false" outlineLevel="0" collapsed="false">
      <c r="A34" s="6" t="s">
        <v>75</v>
      </c>
      <c r="B34" s="19"/>
      <c r="C34" s="8" t="n">
        <f aca="false">C28+C33</f>
        <v>12309.3749999999</v>
      </c>
      <c r="D34" s="8" t="n">
        <f aca="false">D28+D33</f>
        <v>18173.2499999999</v>
      </c>
      <c r="E34" s="8" t="n">
        <f aca="false">E28+E33</f>
        <v>24124.3481249998</v>
      </c>
      <c r="F34" s="8" t="n">
        <f aca="false">F28+F33</f>
        <v>30163.9699968748</v>
      </c>
      <c r="G34" s="8" t="n">
        <f aca="false">G28+G33</f>
        <v>36293.4356677029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5"/>
    <col collapsed="false" customWidth="true" hidden="false" outlineLevel="0" max="7" min="2" style="0" width="16"/>
  </cols>
  <sheetData>
    <row r="1" customFormat="false" ht="16.15" hidden="false" customHeight="false" outlineLevel="0" collapsed="false">
      <c r="A1" s="17" t="s">
        <v>76</v>
      </c>
      <c r="B1" s="17"/>
      <c r="C1" s="17"/>
      <c r="D1" s="17"/>
      <c r="E1" s="17"/>
      <c r="F1" s="17"/>
      <c r="G1" s="17"/>
    </row>
    <row r="3" customFormat="false" ht="15" hidden="false" customHeight="false" outlineLevel="0" collapsed="false">
      <c r="A3" s="3"/>
      <c r="B3" s="3" t="s">
        <v>45</v>
      </c>
      <c r="C3" s="3" t="s">
        <v>46</v>
      </c>
      <c r="D3" s="3" t="s">
        <v>47</v>
      </c>
      <c r="E3" s="3" t="s">
        <v>48</v>
      </c>
      <c r="F3" s="3" t="s">
        <v>49</v>
      </c>
      <c r="G3" s="3" t="s">
        <v>50</v>
      </c>
    </row>
    <row r="4" customFormat="false" ht="15" hidden="false" customHeight="false" outlineLevel="0" collapsed="false">
      <c r="A4" s="18" t="s">
        <v>51</v>
      </c>
      <c r="B4" s="5"/>
      <c r="C4" s="5"/>
      <c r="D4" s="5"/>
      <c r="E4" s="5"/>
      <c r="F4" s="5"/>
      <c r="G4" s="5"/>
    </row>
    <row r="5" customFormat="false" ht="15" hidden="false" customHeight="false" outlineLevel="0" collapsed="false">
      <c r="A5" s="6" t="s">
        <v>52</v>
      </c>
      <c r="B5" s="8" t="n">
        <v>-700000</v>
      </c>
      <c r="C5" s="19"/>
      <c r="D5" s="19"/>
      <c r="E5" s="19"/>
      <c r="F5" s="19"/>
      <c r="G5" s="19"/>
    </row>
    <row r="6" customFormat="false" ht="15" hidden="false" customHeight="false" outlineLevel="0" collapsed="false">
      <c r="A6" s="6" t="s">
        <v>53</v>
      </c>
      <c r="B6" s="8" t="n">
        <v>0</v>
      </c>
      <c r="C6" s="19"/>
      <c r="D6" s="19"/>
      <c r="E6" s="19"/>
      <c r="F6" s="19"/>
      <c r="G6" s="19"/>
    </row>
    <row r="7" customFormat="false" ht="15" hidden="false" customHeight="false" outlineLevel="0" collapsed="false">
      <c r="A7" s="6" t="s">
        <v>54</v>
      </c>
      <c r="B7" s="8" t="n">
        <f aca="false">-Hypothèses!C10</f>
        <v>-24500</v>
      </c>
      <c r="C7" s="19"/>
      <c r="D7" s="19"/>
      <c r="E7" s="19"/>
      <c r="F7" s="19"/>
      <c r="G7" s="19"/>
    </row>
    <row r="8" customFormat="false" ht="15" hidden="false" customHeight="false" outlineLevel="0" collapsed="false">
      <c r="A8" s="6" t="s">
        <v>55</v>
      </c>
      <c r="B8" s="8" t="n">
        <f aca="false">SUM(B5:B7)</f>
        <v>-724500</v>
      </c>
      <c r="C8" s="19"/>
      <c r="D8" s="19"/>
      <c r="E8" s="19"/>
      <c r="F8" s="19"/>
      <c r="G8" s="19"/>
    </row>
    <row r="10" customFormat="false" ht="15" hidden="false" customHeight="false" outlineLevel="0" collapsed="false">
      <c r="A10" s="18" t="s">
        <v>56</v>
      </c>
      <c r="B10" s="5"/>
      <c r="C10" s="5"/>
      <c r="D10" s="5"/>
      <c r="E10" s="5"/>
      <c r="F10" s="5"/>
      <c r="G10" s="5"/>
    </row>
    <row r="11" customFormat="false" ht="15" hidden="false" customHeight="false" outlineLevel="0" collapsed="false">
      <c r="A11" s="6" t="s">
        <v>57</v>
      </c>
      <c r="B11" s="19"/>
      <c r="C11" s="8" t="n">
        <f aca="false">Hypothèses!C26</f>
        <v>30000</v>
      </c>
      <c r="D11" s="8" t="n">
        <f aca="false">C11*(1+Hypothèses!C21)</f>
        <v>30300</v>
      </c>
      <c r="E11" s="8" t="n">
        <f aca="false">D11*(1+Hypothèses!C21)</f>
        <v>30603</v>
      </c>
      <c r="F11" s="8" t="n">
        <f aca="false">E11*(1+Hypothèses!C21)</f>
        <v>30909.03</v>
      </c>
      <c r="G11" s="8" t="n">
        <f aca="false">F11*(1+Hypothèses!C21)</f>
        <v>31218.1203</v>
      </c>
    </row>
    <row r="12" customFormat="false" ht="15" hidden="false" customHeight="false" outlineLevel="0" collapsed="false">
      <c r="A12" s="6" t="s">
        <v>58</v>
      </c>
      <c r="B12" s="19"/>
      <c r="C12" s="8" t="n">
        <f aca="false">-C11*Hypothèses!C15</f>
        <v>-1500</v>
      </c>
      <c r="D12" s="8" t="n">
        <f aca="false">-D11*Hypothèses!C15</f>
        <v>-1515</v>
      </c>
      <c r="E12" s="8" t="n">
        <f aca="false">-E11*Hypothèses!C15</f>
        <v>-1530.15</v>
      </c>
      <c r="F12" s="8" t="n">
        <f aca="false">-F11*Hypothèses!C15</f>
        <v>-1545.4515</v>
      </c>
      <c r="G12" s="8" t="n">
        <f aca="false">-G11*Hypothèses!C15</f>
        <v>-1560.906015</v>
      </c>
    </row>
    <row r="13" customFormat="false" ht="15" hidden="false" customHeight="false" outlineLevel="0" collapsed="false">
      <c r="A13" s="6" t="s">
        <v>59</v>
      </c>
      <c r="B13" s="19"/>
      <c r="C13" s="8" t="n">
        <f aca="false">C11+C12</f>
        <v>28500</v>
      </c>
      <c r="D13" s="8" t="n">
        <f aca="false">D11+D12</f>
        <v>28785</v>
      </c>
      <c r="E13" s="8" t="n">
        <f aca="false">E11+E12</f>
        <v>29072.85</v>
      </c>
      <c r="F13" s="8" t="n">
        <f aca="false">F11+F12</f>
        <v>29363.5785</v>
      </c>
      <c r="G13" s="8" t="n">
        <f aca="false">G11+G12</f>
        <v>29657.214285</v>
      </c>
    </row>
    <row r="15" customFormat="false" ht="15" hidden="false" customHeight="false" outlineLevel="0" collapsed="false">
      <c r="A15" s="18" t="s">
        <v>60</v>
      </c>
      <c r="B15" s="5"/>
      <c r="C15" s="5"/>
      <c r="D15" s="5"/>
      <c r="E15" s="5"/>
      <c r="F15" s="5"/>
      <c r="G15" s="5"/>
    </row>
    <row r="16" customFormat="false" ht="15" hidden="false" customHeight="false" outlineLevel="0" collapsed="false">
      <c r="A16" s="6" t="s">
        <v>61</v>
      </c>
      <c r="B16" s="19"/>
      <c r="C16" s="8" t="n">
        <f aca="false">Hypothèses!C28</f>
        <v>2520</v>
      </c>
      <c r="D16" s="8" t="n">
        <f aca="false">C16*(1+Hypothèses!C22)</f>
        <v>2532.6</v>
      </c>
      <c r="E16" s="8" t="n">
        <f aca="false">D16*(1+Hypothèses!C22)</f>
        <v>2545.263</v>
      </c>
      <c r="F16" s="8" t="n">
        <f aca="false">E16*(1+Hypothèses!C22)</f>
        <v>2557.989315</v>
      </c>
      <c r="G16" s="8" t="n">
        <f aca="false">F16*(1+Hypothèses!C22)</f>
        <v>2570.779261575</v>
      </c>
    </row>
    <row r="17" customFormat="false" ht="15" hidden="false" customHeight="false" outlineLevel="0" collapsed="false">
      <c r="A17" s="6" t="s">
        <v>62</v>
      </c>
      <c r="B17" s="19"/>
      <c r="C17" s="8" t="n">
        <f aca="false">C11*Hypothèses!C16</f>
        <v>1500</v>
      </c>
      <c r="D17" s="8" t="n">
        <f aca="false">D11*Hypothèses!C16</f>
        <v>1515</v>
      </c>
      <c r="E17" s="8" t="n">
        <f aca="false">E11*Hypothèses!C16</f>
        <v>1530.15</v>
      </c>
      <c r="F17" s="8" t="n">
        <f aca="false">F11*Hypothèses!C16</f>
        <v>1545.4515</v>
      </c>
      <c r="G17" s="8" t="n">
        <f aca="false">G11*Hypothèses!C16</f>
        <v>1560.906015</v>
      </c>
    </row>
    <row r="18" customFormat="false" ht="15" hidden="false" customHeight="false" outlineLevel="0" collapsed="false">
      <c r="A18" s="6" t="s">
        <v>63</v>
      </c>
      <c r="B18" s="19"/>
      <c r="C18" s="8" t="n">
        <f aca="false">Hypothèses!C17</f>
        <v>500</v>
      </c>
      <c r="D18" s="8" t="n">
        <f aca="false">C18*(1+Hypothèses!C22)</f>
        <v>502.5</v>
      </c>
      <c r="E18" s="8" t="n">
        <f aca="false">D18*(1+Hypothèses!C22)</f>
        <v>505.0125</v>
      </c>
      <c r="F18" s="8" t="n">
        <f aca="false">E18*(1+Hypothèses!C22)</f>
        <v>507.5375625</v>
      </c>
      <c r="G18" s="8" t="n">
        <f aca="false">F18*(1+Hypothèses!C22)</f>
        <v>510.0752503125</v>
      </c>
    </row>
    <row r="19" customFormat="false" ht="15" hidden="false" customHeight="false" outlineLevel="0" collapsed="false">
      <c r="A19" s="6" t="s">
        <v>64</v>
      </c>
      <c r="B19" s="19"/>
      <c r="C19" s="8" t="n">
        <f aca="false">C16+C17+C18</f>
        <v>4520</v>
      </c>
      <c r="D19" s="8" t="n">
        <f aca="false">D16+D17+D18</f>
        <v>4550.1</v>
      </c>
      <c r="E19" s="8" t="n">
        <f aca="false">E16+E17+E18</f>
        <v>4580.4255</v>
      </c>
      <c r="F19" s="8" t="n">
        <f aca="false">F16+F17+F18</f>
        <v>4610.9783775</v>
      </c>
      <c r="G19" s="8" t="n">
        <f aca="false">G16+G17+G18</f>
        <v>4641.7605268875</v>
      </c>
    </row>
    <row r="21" customFormat="false" ht="15" hidden="false" customHeight="false" outlineLevel="0" collapsed="false">
      <c r="A21" s="13" t="s">
        <v>65</v>
      </c>
      <c r="B21" s="19"/>
      <c r="C21" s="8" t="n">
        <f aca="false">C13-C19</f>
        <v>23980</v>
      </c>
      <c r="D21" s="8" t="n">
        <f aca="false">D13-D19</f>
        <v>24234.9</v>
      </c>
      <c r="E21" s="8" t="n">
        <f aca="false">E13-E19</f>
        <v>24492.4245</v>
      </c>
      <c r="F21" s="8" t="n">
        <f aca="false">F13-F19</f>
        <v>24752.6001225</v>
      </c>
      <c r="G21" s="8" t="n">
        <f aca="false">G13-G19</f>
        <v>25015.4537581125</v>
      </c>
    </row>
    <row r="23" customFormat="false" ht="15" hidden="false" customHeight="false" outlineLevel="0" collapsed="false">
      <c r="A23" s="18" t="s">
        <v>66</v>
      </c>
      <c r="B23" s="5"/>
      <c r="C23" s="5"/>
      <c r="D23" s="5"/>
      <c r="E23" s="5"/>
      <c r="F23" s="5"/>
      <c r="G23" s="5"/>
    </row>
    <row r="24" customFormat="false" ht="15" hidden="false" customHeight="false" outlineLevel="0" collapsed="false">
      <c r="A24" s="6" t="s">
        <v>67</v>
      </c>
      <c r="B24" s="19"/>
      <c r="C24" s="8" t="n">
        <f aca="false">Hypothèses!C40</f>
        <v>7962.5</v>
      </c>
      <c r="D24" s="8" t="n">
        <f aca="false">C24</f>
        <v>7962.5</v>
      </c>
      <c r="E24" s="8" t="n">
        <f aca="false">D24</f>
        <v>7962.5</v>
      </c>
      <c r="F24" s="8" t="n">
        <f aca="false">E24</f>
        <v>7962.5</v>
      </c>
      <c r="G24" s="8" t="n">
        <f aca="false">F24</f>
        <v>7962.5</v>
      </c>
    </row>
    <row r="25" customFormat="false" ht="15" hidden="false" customHeight="false" outlineLevel="0" collapsed="false">
      <c r="A25" s="6" t="s">
        <v>68</v>
      </c>
      <c r="B25" s="19"/>
      <c r="C25" s="8" t="n">
        <f aca="false">Hypothèses!C41</f>
        <v>7000</v>
      </c>
      <c r="D25" s="8" t="n">
        <f aca="false">C25</f>
        <v>7000</v>
      </c>
      <c r="E25" s="8" t="n">
        <f aca="false">D25</f>
        <v>7000</v>
      </c>
      <c r="F25" s="8" t="n">
        <f aca="false">E25</f>
        <v>7000</v>
      </c>
      <c r="G25" s="8" t="n">
        <f aca="false">F25</f>
        <v>7000</v>
      </c>
    </row>
    <row r="26" customFormat="false" ht="15" hidden="false" customHeight="false" outlineLevel="0" collapsed="false">
      <c r="A26" s="6" t="s">
        <v>69</v>
      </c>
      <c r="B26" s="19"/>
      <c r="C26" s="8" t="n">
        <f aca="false">C24+C25</f>
        <v>14962.5</v>
      </c>
      <c r="D26" s="8" t="n">
        <f aca="false">D24+D25</f>
        <v>14962.5</v>
      </c>
      <c r="E26" s="8" t="n">
        <f aca="false">E24+E25</f>
        <v>14962.5</v>
      </c>
      <c r="F26" s="8" t="n">
        <f aca="false">F24+F25</f>
        <v>14962.5</v>
      </c>
      <c r="G26" s="8" t="n">
        <f aca="false">G24+G25</f>
        <v>14962.5</v>
      </c>
    </row>
    <row r="28" customFormat="false" ht="15" hidden="false" customHeight="false" outlineLevel="0" collapsed="false">
      <c r="A28" s="13" t="s">
        <v>70</v>
      </c>
      <c r="B28" s="8" t="n">
        <f aca="false">B8</f>
        <v>-724500</v>
      </c>
      <c r="C28" s="8" t="n">
        <f aca="false">C21-C26</f>
        <v>9017.5</v>
      </c>
      <c r="D28" s="8" t="n">
        <f aca="false">D21-D26</f>
        <v>9272.4</v>
      </c>
      <c r="E28" s="8" t="n">
        <f aca="false">E21-E26</f>
        <v>9529.9245</v>
      </c>
      <c r="F28" s="8" t="n">
        <f aca="false">F21-F26</f>
        <v>9790.1001225</v>
      </c>
      <c r="G28" s="8" t="n">
        <f aca="false">G21-G26</f>
        <v>10052.9537581125</v>
      </c>
    </row>
    <row r="29" customFormat="false" ht="15" hidden="false" customHeight="false" outlineLevel="0" collapsed="false">
      <c r="A29" s="6" t="s">
        <v>71</v>
      </c>
      <c r="B29" s="8" t="n">
        <f aca="false">B28</f>
        <v>-724500</v>
      </c>
      <c r="C29" s="8" t="n">
        <f aca="false">B29+C28</f>
        <v>-715482.5</v>
      </c>
      <c r="D29" s="8" t="n">
        <f aca="false">C29+D28</f>
        <v>-706210.1</v>
      </c>
      <c r="E29" s="8" t="n">
        <f aca="false">D29+E28</f>
        <v>-696680.1755</v>
      </c>
      <c r="F29" s="8" t="n">
        <f aca="false">E29+F28</f>
        <v>-686890.0753775</v>
      </c>
      <c r="G29" s="8" t="n">
        <f aca="false">F29+G28</f>
        <v>-676837.121619388</v>
      </c>
    </row>
    <row r="31" customFormat="false" ht="15" hidden="false" customHeight="false" outlineLevel="0" collapsed="false">
      <c r="A31" s="18" t="s">
        <v>72</v>
      </c>
      <c r="B31" s="5"/>
      <c r="C31" s="5"/>
      <c r="D31" s="5"/>
      <c r="E31" s="5"/>
      <c r="F31" s="5"/>
      <c r="G31" s="5"/>
    </row>
    <row r="32" customFormat="false" ht="15" hidden="false" customHeight="false" outlineLevel="0" collapsed="false">
      <c r="A32" s="6" t="s">
        <v>73</v>
      </c>
      <c r="B32" s="8" t="n">
        <f aca="false">Hypothèses!C7</f>
        <v>700000</v>
      </c>
      <c r="C32" s="8" t="n">
        <f aca="false">B32*(1+Hypothèses!C23)</f>
        <v>710500</v>
      </c>
      <c r="D32" s="8" t="n">
        <f aca="false">C32*(1+Hypothèses!C23)</f>
        <v>721157.5</v>
      </c>
      <c r="E32" s="8" t="n">
        <f aca="false">D32*(1+Hypothèses!C23)</f>
        <v>731974.8625</v>
      </c>
      <c r="F32" s="8" t="n">
        <f aca="false">E32*(1+Hypothèses!C23)</f>
        <v>742954.4854375</v>
      </c>
      <c r="G32" s="8" t="n">
        <f aca="false">F32*(1+Hypothèses!C23)</f>
        <v>754098.802719062</v>
      </c>
    </row>
    <row r="33" customFormat="false" ht="15" hidden="false" customHeight="false" outlineLevel="0" collapsed="false">
      <c r="A33" s="6" t="s">
        <v>74</v>
      </c>
      <c r="B33" s="19"/>
      <c r="C33" s="8" t="n">
        <f aca="false">C32-B32</f>
        <v>10499.9999999999</v>
      </c>
      <c r="D33" s="8" t="n">
        <f aca="false">D32-B32</f>
        <v>21157.4999999998</v>
      </c>
      <c r="E33" s="8" t="n">
        <f aca="false">E32-B32</f>
        <v>31974.8624999997</v>
      </c>
      <c r="F33" s="8" t="n">
        <f aca="false">F32-B32</f>
        <v>42954.4854374996</v>
      </c>
      <c r="G33" s="8" t="n">
        <f aca="false">G32-B32</f>
        <v>54098.802719062</v>
      </c>
    </row>
    <row r="34" customFormat="false" ht="15" hidden="false" customHeight="false" outlineLevel="0" collapsed="false">
      <c r="A34" s="6" t="s">
        <v>75</v>
      </c>
      <c r="B34" s="19"/>
      <c r="C34" s="8" t="n">
        <f aca="false">C28+C33</f>
        <v>19517.4999999999</v>
      </c>
      <c r="D34" s="8" t="n">
        <f aca="false">D28+D33</f>
        <v>30429.8999999998</v>
      </c>
      <c r="E34" s="8" t="n">
        <f aca="false">E28+E33</f>
        <v>41504.7869999997</v>
      </c>
      <c r="F34" s="8" t="n">
        <f aca="false">F28+F33</f>
        <v>52744.5855599996</v>
      </c>
      <c r="G34" s="8" t="n">
        <f aca="false">G28+G33</f>
        <v>64151.7564771745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8"/>
    <col collapsed="false" customWidth="true" hidden="false" outlineLevel="0" max="5" min="2" style="0" width="20"/>
  </cols>
  <sheetData>
    <row r="1" customFormat="false" ht="16.15" hidden="false" customHeight="false" outlineLevel="0" collapsed="false">
      <c r="A1" s="17" t="s">
        <v>77</v>
      </c>
      <c r="B1" s="17"/>
      <c r="C1" s="17"/>
      <c r="D1" s="17"/>
      <c r="E1" s="17"/>
    </row>
    <row r="3" customFormat="false" ht="15" hidden="false" customHeight="false" outlineLevel="0" collapsed="false">
      <c r="A3" s="3"/>
      <c r="B3" s="3" t="s">
        <v>78</v>
      </c>
      <c r="C3" s="3" t="s">
        <v>79</v>
      </c>
      <c r="D3" s="3" t="s">
        <v>80</v>
      </c>
      <c r="E3" s="3" t="s">
        <v>81</v>
      </c>
    </row>
    <row r="4" customFormat="false" ht="15" hidden="false" customHeight="false" outlineLevel="0" collapsed="false">
      <c r="A4" s="6" t="s">
        <v>12</v>
      </c>
      <c r="B4" s="8" t="n">
        <f aca="false">Hypothèses!B11</f>
        <v>425125</v>
      </c>
      <c r="C4" s="8" t="n">
        <f aca="false">Hypothèses!C11</f>
        <v>724500</v>
      </c>
      <c r="D4" s="8" t="n">
        <f aca="false">Hypothèses!D11</f>
        <v>1149625</v>
      </c>
      <c r="E4" s="8" t="n">
        <v>0</v>
      </c>
    </row>
    <row r="5" customFormat="false" ht="15" hidden="false" customHeight="false" outlineLevel="0" collapsed="false">
      <c r="A5" s="6" t="s">
        <v>37</v>
      </c>
      <c r="B5" s="8" t="n">
        <f aca="false">Hypothèses!B39</f>
        <v>181375</v>
      </c>
      <c r="C5" s="8" t="n">
        <f aca="false">Hypothèses!C39</f>
        <v>269500</v>
      </c>
      <c r="D5" s="8" t="n">
        <f aca="false">Hypothèses!D39</f>
        <v>450875</v>
      </c>
      <c r="E5" s="8" t="n">
        <v>0</v>
      </c>
    </row>
    <row r="6" customFormat="false" ht="15" hidden="false" customHeight="false" outlineLevel="0" collapsed="false">
      <c r="A6" s="6" t="s">
        <v>26</v>
      </c>
      <c r="B6" s="8" t="n">
        <f aca="false">Hypothèses!B26</f>
        <v>18000</v>
      </c>
      <c r="C6" s="8" t="n">
        <f aca="false">Hypothèses!C26</f>
        <v>30000</v>
      </c>
      <c r="D6" s="8" t="n">
        <f aca="false">Hypothèses!D26</f>
        <v>48000</v>
      </c>
      <c r="E6" s="8" t="n">
        <f aca="false">-Hypothèses!D26</f>
        <v>-48000</v>
      </c>
    </row>
    <row r="7" customFormat="false" ht="15" hidden="false" customHeight="false" outlineLevel="0" collapsed="false">
      <c r="A7" s="6" t="s">
        <v>82</v>
      </c>
      <c r="B7" s="8" t="n">
        <f aca="false">Hypothèses!B32</f>
        <v>14700</v>
      </c>
      <c r="C7" s="8" t="n">
        <f aca="false">Hypothèses!C32</f>
        <v>23980</v>
      </c>
      <c r="D7" s="8" t="n">
        <f aca="false">Hypothèses!D32</f>
        <v>38680</v>
      </c>
      <c r="E7" s="8" t="n">
        <v>0</v>
      </c>
    </row>
    <row r="8" customFormat="false" ht="15" hidden="false" customHeight="false" outlineLevel="0" collapsed="false">
      <c r="A8" s="6" t="s">
        <v>41</v>
      </c>
      <c r="B8" s="8" t="n">
        <f aca="false">Hypothèses!B43</f>
        <v>6684.375</v>
      </c>
      <c r="C8" s="8" t="n">
        <f aca="false">Hypothèses!C43</f>
        <v>9017.5</v>
      </c>
      <c r="D8" s="8" t="n">
        <f aca="false">Hypothèses!D43</f>
        <v>15701.875</v>
      </c>
      <c r="E8" s="8" t="n">
        <f aca="false">-Hypothèses!D26</f>
        <v>-48000</v>
      </c>
    </row>
    <row r="9" customFormat="false" ht="15" hidden="false" customHeight="false" outlineLevel="0" collapsed="false">
      <c r="A9" s="6" t="s">
        <v>33</v>
      </c>
      <c r="B9" s="15" t="n">
        <f aca="false">Hypothèses!B34</f>
        <v>0.048</v>
      </c>
      <c r="C9" s="15" t="n">
        <f aca="false">Hypothèses!C34</f>
        <v>0.0428571428571429</v>
      </c>
      <c r="D9" s="15" t="n">
        <f aca="false">Hypothèses!D34</f>
        <v>0.0446511627906977</v>
      </c>
      <c r="E9" s="15"/>
    </row>
    <row r="10" customFormat="false" ht="15" hidden="false" customHeight="false" outlineLevel="0" collapsed="false">
      <c r="A10" s="6" t="s">
        <v>83</v>
      </c>
      <c r="B10" s="15" t="n">
        <f aca="false">Hypothèses!B35</f>
        <v>0.0392</v>
      </c>
      <c r="C10" s="15" t="n">
        <f aca="false">Hypothèses!C35</f>
        <v>0.0342571428571429</v>
      </c>
      <c r="D10" s="15" t="n">
        <f aca="false">Hypothèses!D35</f>
        <v>0.0359813953488372</v>
      </c>
      <c r="E10" s="15"/>
    </row>
    <row r="11" customFormat="false" ht="15" hidden="false" customHeight="false" outlineLevel="0" collapsed="false">
      <c r="A11" s="6" t="s">
        <v>84</v>
      </c>
      <c r="B11" s="15" t="n">
        <f aca="false">Hypothèses!B36</f>
        <v>0.0345780652749191</v>
      </c>
      <c r="C11" s="15" t="n">
        <f aca="false">Hypothèses!C36</f>
        <v>0.0330986887508627</v>
      </c>
      <c r="D11" s="15" t="n">
        <f aca="false">Hypothèses!D36</f>
        <v>0.0336457540502338</v>
      </c>
      <c r="E11" s="15"/>
    </row>
    <row r="12" customFormat="false" ht="15" hidden="false" customHeight="false" outlineLevel="0" collapsed="false">
      <c r="A12" s="6" t="s">
        <v>42</v>
      </c>
      <c r="B12" s="15" t="n">
        <f aca="false">Hypothèses!B44</f>
        <v>0.0368538938662991</v>
      </c>
      <c r="C12" s="15" t="n">
        <f aca="false">Hypothèses!C44</f>
        <v>0.0334601113172542</v>
      </c>
      <c r="D12" s="15" t="n">
        <f aca="false">Hypothèses!D44</f>
        <v>0.0348253396174106</v>
      </c>
      <c r="E12" s="15"/>
    </row>
    <row r="13" customFormat="false" ht="15" hidden="false" customHeight="false" outlineLevel="0" collapsed="false">
      <c r="A13" s="6" t="s">
        <v>85</v>
      </c>
      <c r="B13" s="15" t="n">
        <f aca="false">Hypothèses!B45</f>
        <v>0.183333333333333</v>
      </c>
      <c r="C13" s="15" t="n">
        <f aca="false">Hypothèses!C45</f>
        <v>0.200666666666667</v>
      </c>
      <c r="D13" s="15" t="n">
        <f aca="false">Hypothèses!D45</f>
        <v>0.194166666666667</v>
      </c>
      <c r="E13" s="15"/>
    </row>
    <row r="15" customFormat="false" ht="15" hidden="false" customHeight="false" outlineLevel="0" collapsed="false">
      <c r="A15" s="20" t="s">
        <v>86</v>
      </c>
    </row>
    <row r="17" customFormat="false" ht="15" hidden="false" customHeight="false" outlineLevel="0" collapsed="false">
      <c r="A17" s="21" t="s">
        <v>87</v>
      </c>
      <c r="B17" s="21" t="s">
        <v>88</v>
      </c>
      <c r="C17" s="21" t="s">
        <v>89</v>
      </c>
      <c r="D17" s="21" t="s">
        <v>90</v>
      </c>
    </row>
    <row r="18" customFormat="false" ht="15" hidden="false" customHeight="false" outlineLevel="0" collapsed="false">
      <c r="A18" s="6" t="s">
        <v>91</v>
      </c>
      <c r="B18" s="6" t="s">
        <v>92</v>
      </c>
      <c r="C18" s="6" t="s">
        <v>93</v>
      </c>
      <c r="D18" s="6" t="s">
        <v>94</v>
      </c>
    </row>
    <row r="19" customFormat="false" ht="15" hidden="false" customHeight="false" outlineLevel="0" collapsed="false">
      <c r="A19" s="6" t="s">
        <v>95</v>
      </c>
      <c r="B19" s="6" t="s">
        <v>93</v>
      </c>
      <c r="C19" s="6" t="s">
        <v>92</v>
      </c>
      <c r="D19" s="6" t="s">
        <v>96</v>
      </c>
    </row>
    <row r="20" customFormat="false" ht="15" hidden="false" customHeight="false" outlineLevel="0" collapsed="false">
      <c r="A20" s="6" t="s">
        <v>97</v>
      </c>
      <c r="B20" s="6" t="s">
        <v>93</v>
      </c>
      <c r="C20" s="6" t="s">
        <v>93</v>
      </c>
      <c r="D20" s="6" t="s">
        <v>98</v>
      </c>
    </row>
    <row r="21" customFormat="false" ht="15" hidden="false" customHeight="false" outlineLevel="0" collapsed="false">
      <c r="A21" s="6" t="s">
        <v>99</v>
      </c>
      <c r="B21" s="6" t="s">
        <v>92</v>
      </c>
      <c r="C21" s="6" t="s">
        <v>100</v>
      </c>
      <c r="D21" s="6" t="s">
        <v>101</v>
      </c>
    </row>
    <row r="22" customFormat="false" ht="15" hidden="false" customHeight="false" outlineLevel="0" collapsed="false">
      <c r="A22" s="6" t="s">
        <v>102</v>
      </c>
      <c r="B22" s="6" t="s">
        <v>100</v>
      </c>
      <c r="C22" s="6" t="s">
        <v>93</v>
      </c>
      <c r="D22" s="6" t="s">
        <v>103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2026-02-18T06:05:44Z</dcterms:created>
  <dc:creator>openpyxl</dc:creator>
  <dc:description/>
  <dc:language>en-US</dc:language>
  <cp:lastModifiedBy/>
  <dcterms:modified xsi:type="dcterms:W3CDTF">2026-02-18T06:05:44Z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